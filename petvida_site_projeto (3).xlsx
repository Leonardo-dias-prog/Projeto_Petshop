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2-1.3 EAP &amp; RACI" sheetId="1" r:id="rId5"/>
    <sheet state="visible" name="1.4 Cronograma Gantt" sheetId="2" r:id="rId6"/>
    <sheet state="visible" name="1.5 Gestão de Custos" sheetId="3" r:id="rId7"/>
    <sheet state="visible" name="1.6-1.8 Riscos e Backlog" sheetId="4" r:id="rId8"/>
  </sheets>
  <definedNames/>
  <calcPr/>
</workbook>
</file>

<file path=xl/sharedStrings.xml><?xml version="1.0" encoding="utf-8"?>
<sst xmlns="http://schemas.openxmlformats.org/spreadsheetml/2006/main" count="401" uniqueCount="228">
  <si>
    <t>1.2 EAP &amp; 1.3 MATRIZ RACI — SITE PETVIDA</t>
  </si>
  <si>
    <t>R = Responsável  |  A = Aprovador  |  C = Consultado  |  I = Informado</t>
  </si>
  <si>
    <t>Pacote de Trabalho (EAP)</t>
  </si>
  <si>
    <t>Lucas (GP)</t>
  </si>
  <si>
    <t>Mariana (Cont.)</t>
  </si>
  <si>
    <t>Pedro (Dev)</t>
  </si>
  <si>
    <t>1.0 PLANEJAMENTO E REQUISITOS</t>
  </si>
  <si>
    <t>1.1 Levantamento de requisitos e benchmark</t>
  </si>
  <si>
    <t>R</t>
  </si>
  <si>
    <t>C</t>
  </si>
  <si>
    <t>1.2 Definição de escopo, wireframes e sitemap</t>
  </si>
  <si>
    <t>A</t>
  </si>
  <si>
    <t>1.3 Contratação de domínio e hospedagem</t>
  </si>
  <si>
    <t>I</t>
  </si>
  <si>
    <t>2.0 DESIGN E IDENTIDADE VISUAL</t>
  </si>
  <si>
    <t>2.1 Criação do layout (UI/UX) e protótipo</t>
  </si>
  <si>
    <t>2.2 Produção de fotos, banners e material visual</t>
  </si>
  <si>
    <t>2.3 Aprovação do design final</t>
  </si>
  <si>
    <t>3.0 DESENVOLVIMENTO FRONT-END</t>
  </si>
  <si>
    <t>3.1 Codificação das páginas (HTML/CSS/JS)</t>
  </si>
  <si>
    <t>3.2 Responsividade mobile e testes de interface</t>
  </si>
  <si>
    <t>3.3 Integração com APIs (WhatsApp, Maps)</t>
  </si>
  <si>
    <t>4.0 DESENVOLVIMENTO BACK-END E E-COMMERCE</t>
  </si>
  <si>
    <t>4.1 Banco de dados e painel administrativo</t>
  </si>
  <si>
    <t>4.2 Módulo de agendamento online</t>
  </si>
  <si>
    <t>4.3 Loja virtual (carrinho, pagamento, frete)</t>
  </si>
  <si>
    <t>4.4 Cadastro de produtos (200 SKUs)</t>
  </si>
  <si>
    <t>5.0 CONTEÚDO E SEO</t>
  </si>
  <si>
    <t>5.1 Redação de textos institucionais e blog</t>
  </si>
  <si>
    <t>5.2 Otimização SEO (meta tags, sitemap, robots)</t>
  </si>
  <si>
    <t>5.3 Configuração Google Analytics e Search Console</t>
  </si>
  <si>
    <t>6.0 TESTES E LANÇAMENTO</t>
  </si>
  <si>
    <t>6.1 Testes funcionais, segurança e performance</t>
  </si>
  <si>
    <t>6.2 Correção de bugs e ajustes finais</t>
  </si>
  <si>
    <t>6.3 Publicação (deploy) e go-live</t>
  </si>
  <si>
    <t>6.4 Campanha de divulgação do lançamento</t>
  </si>
  <si>
    <t>7.0 ENCERRAMENTO</t>
  </si>
  <si>
    <t>7.1 Treinamento do cliente no painel admin</t>
  </si>
  <si>
    <t>7.2 Documentação técnica e lições aprendidas</t>
  </si>
  <si>
    <t>1.4 CRONOGRAMA (GANTT) — SITE PETVIDA</t>
  </si>
  <si>
    <t>ATIVIDADES DA EAP</t>
  </si>
  <si>
    <t>MÊS 1</t>
  </si>
  <si>
    <t>MÊS 2</t>
  </si>
  <si>
    <t>MÊS 3</t>
  </si>
  <si>
    <t>MÊS 4</t>
  </si>
  <si>
    <t>MÊS 5</t>
  </si>
  <si>
    <t>1. Planejamento e Requisitos</t>
  </si>
  <si>
    <t>■■■■</t>
  </si>
  <si>
    <t>2. Design e Identidade Visual</t>
  </si>
  <si>
    <t>3. Desenvolvimento Front-End</t>
  </si>
  <si>
    <t>4. Back-End e E-commerce</t>
  </si>
  <si>
    <t>5. Conteúdo e SEO</t>
  </si>
  <si>
    <t>6. Testes e Lançamento</t>
  </si>
  <si>
    <t>7. Encerramento</t>
  </si>
  <si>
    <t>DETALHAMENTO POR ATIVIDADE</t>
  </si>
  <si>
    <t>Atividade</t>
  </si>
  <si>
    <t>Responsável</t>
  </si>
  <si>
    <t>Início</t>
  </si>
  <si>
    <t>Fim</t>
  </si>
  <si>
    <t>Dias</t>
  </si>
  <si>
    <t>Predecessora</t>
  </si>
  <si>
    <t>Status</t>
  </si>
  <si>
    <t>Levantamento de requisitos</t>
  </si>
  <si>
    <t>01/05/2026</t>
  </si>
  <si>
    <t>10/05/2026</t>
  </si>
  <si>
    <t>—</t>
  </si>
  <si>
    <t>Pendente</t>
  </si>
  <si>
    <t>Benchmark de concorrentes</t>
  </si>
  <si>
    <t>Lucas/Mariana</t>
  </si>
  <si>
    <t>05/05/2026</t>
  </si>
  <si>
    <t>12/05/2026</t>
  </si>
  <si>
    <t>Wireframes e sitemap</t>
  </si>
  <si>
    <t>20/05/2026</t>
  </si>
  <si>
    <t>1</t>
  </si>
  <si>
    <t>Contratação domínio + hospedagem</t>
  </si>
  <si>
    <t>15/05/2026</t>
  </si>
  <si>
    <t>Layout UI/UX e protótipo</t>
  </si>
  <si>
    <t>05/06/2026</t>
  </si>
  <si>
    <t>3</t>
  </si>
  <si>
    <t>Produção de fotos e banners</t>
  </si>
  <si>
    <t>Mariana</t>
  </si>
  <si>
    <t>10/06/2026</t>
  </si>
  <si>
    <t>Aprovação do design final</t>
  </si>
  <si>
    <t>12/06/2026</t>
  </si>
  <si>
    <t>5</t>
  </si>
  <si>
    <t>Codificação front-end (HTML/CSS/JS)</t>
  </si>
  <si>
    <t>10/07/2026</t>
  </si>
  <si>
    <t>7</t>
  </si>
  <si>
    <t>Responsividade mobile</t>
  </si>
  <si>
    <t>01/07/2026</t>
  </si>
  <si>
    <t>15/07/2026</t>
  </si>
  <si>
    <t>8</t>
  </si>
  <si>
    <t>Integração APIs (WhatsApp, Maps)</t>
  </si>
  <si>
    <t>20/07/2026</t>
  </si>
  <si>
    <t>Banco de dados e painel admin</t>
  </si>
  <si>
    <t>15/06/2026</t>
  </si>
  <si>
    <t>Módulo de agendamento online</t>
  </si>
  <si>
    <t>25/07/2026</t>
  </si>
  <si>
    <t>11</t>
  </si>
  <si>
    <t>Loja virtual (carrinho, pgto, frete)</t>
  </si>
  <si>
    <t>20/08/2026</t>
  </si>
  <si>
    <t>Cadastro de 200 produtos</t>
  </si>
  <si>
    <t>01/08/2026</t>
  </si>
  <si>
    <t>25/08/2026</t>
  </si>
  <si>
    <t>13</t>
  </si>
  <si>
    <t>Redação textos institucionais e blog</t>
  </si>
  <si>
    <t>05/08/2026</t>
  </si>
  <si>
    <t>Otimização SEO</t>
  </si>
  <si>
    <t>8,15</t>
  </si>
  <si>
    <t>Google Analytics e Search Console</t>
  </si>
  <si>
    <t>15/08/2026</t>
  </si>
  <si>
    <t>16</t>
  </si>
  <si>
    <t>Testes funcionais e segurança</t>
  </si>
  <si>
    <t>05/09/2026</t>
  </si>
  <si>
    <t>13,14</t>
  </si>
  <si>
    <t>Correção de bugs</t>
  </si>
  <si>
    <t>15/09/2026</t>
  </si>
  <si>
    <t>18</t>
  </si>
  <si>
    <t>Deploy e go-live</t>
  </si>
  <si>
    <t>18/09/2026</t>
  </si>
  <si>
    <t>19</t>
  </si>
  <si>
    <t>Campanha de lançamento</t>
  </si>
  <si>
    <t>30/09/2026</t>
  </si>
  <si>
    <t>20</t>
  </si>
  <si>
    <t>Treinamento painel admin</t>
  </si>
  <si>
    <t>20/09/2026</t>
  </si>
  <si>
    <t>25/09/2026</t>
  </si>
  <si>
    <t>Documentação e lições aprendidas</t>
  </si>
  <si>
    <t>22</t>
  </si>
  <si>
    <t>1.5 GESTÃO DE CUSTOS — SITE PETVIDA</t>
  </si>
  <si>
    <t>Item de Custo</t>
  </si>
  <si>
    <t>Qtd</t>
  </si>
  <si>
    <t>Valor Unitário</t>
  </si>
  <si>
    <t>Total Estimado</t>
  </si>
  <si>
    <t>Domínio (.com.br) — registro anual</t>
  </si>
  <si>
    <t>1 ano</t>
  </si>
  <si>
    <t>R$ 40,00</t>
  </si>
  <si>
    <t>Hospedagem cloud (servidor VPS)</t>
  </si>
  <si>
    <t>12 meses</t>
  </si>
  <si>
    <t>R$ 120,00/mês</t>
  </si>
  <si>
    <t>Certificado SSL (Let's Encrypt)</t>
  </si>
  <si>
    <t>R$ 0,00</t>
  </si>
  <si>
    <t>Horas de desenvolvimento (equipe)</t>
  </si>
  <si>
    <t>480 horas</t>
  </si>
  <si>
    <t>R$ 80,00/h</t>
  </si>
  <si>
    <t>Design UI/UX e identidade visual</t>
  </si>
  <si>
    <t>1 pacote</t>
  </si>
  <si>
    <t>R$ 5.000,00</t>
  </si>
  <si>
    <t>Produção de fotos e vídeos</t>
  </si>
  <si>
    <t>1 sessão</t>
  </si>
  <si>
    <t>R$ 2.500,00</t>
  </si>
  <si>
    <t>Plataforma e-commerce (WooCommerce/plugins)</t>
  </si>
  <si>
    <t>1 licença</t>
  </si>
  <si>
    <t>R$ 1.200,00</t>
  </si>
  <si>
    <t>Gateway de pagamento (Mercado Pago)</t>
  </si>
  <si>
    <t>Ferramentas SEO (SEMrush/Ubersuggest)</t>
  </si>
  <si>
    <t>6 meses</t>
  </si>
  <si>
    <t>R$ 100,00/mês</t>
  </si>
  <si>
    <t>Campanha de lançamento (Google Ads + redes)</t>
  </si>
  <si>
    <t>2 meses</t>
  </si>
  <si>
    <t>R$ 1.500,00/mês</t>
  </si>
  <si>
    <t>Contingência (10%)</t>
  </si>
  <si>
    <t>TOTAL GERAL</t>
  </si>
  <si>
    <t>1.6 RISCOS, 1.7 COMUNICAÇÃO &amp; 1.8 BACKLOG ÁGIL — SITE PETVIDA</t>
  </si>
  <si>
    <t>PLANO DE RISCOS</t>
  </si>
  <si>
    <t>Risco</t>
  </si>
  <si>
    <t>Probabilidade</t>
  </si>
  <si>
    <t>Impacto</t>
  </si>
  <si>
    <t>Classificação</t>
  </si>
  <si>
    <t>Mitigação</t>
  </si>
  <si>
    <t>Atraso na aprovação do layout</t>
  </si>
  <si>
    <t>Alta</t>
  </si>
  <si>
    <t>Alto</t>
  </si>
  <si>
    <t>Crítico</t>
  </si>
  <si>
    <t>Limite de 2 rodadas de revisão + 5 dias úteis para feedback</t>
  </si>
  <si>
    <t>Queda do servidor no lançamento</t>
  </si>
  <si>
    <t>Média</t>
  </si>
  <si>
    <t>Hospedagem com SLA 99,9% + CDN Cloudflare</t>
  </si>
  <si>
    <t>Vulnerabilidade de segurança</t>
  </si>
  <si>
    <t>SSL + sanitização de inputs + 2FA no admin + pentest</t>
  </si>
  <si>
    <t>Baixa adesão ao agendamento online</t>
  </si>
  <si>
    <t>Médio</t>
  </si>
  <si>
    <t>Moderado</t>
  </si>
  <si>
    <t>Desconto 10% no 1º agendamento + treinamento de atendentes</t>
  </si>
  <si>
    <t>PLANO DE COMUNICAÇÃO</t>
  </si>
  <si>
    <t>Comunicação</t>
  </si>
  <si>
    <t>Frequência</t>
  </si>
  <si>
    <t>Ferramenta</t>
  </si>
  <si>
    <t>Participantes</t>
  </si>
  <si>
    <t>Daily standup (equipe dev)</t>
  </si>
  <si>
    <t>Diário — 15 min</t>
  </si>
  <si>
    <t>Google Meet</t>
  </si>
  <si>
    <t>Equipe técnica</t>
  </si>
  <si>
    <t>Sprint Review com cliente</t>
  </si>
  <si>
    <t>Quinzenal</t>
  </si>
  <si>
    <t>Presencial/Meet</t>
  </si>
  <si>
    <t>Equipe + PetVida</t>
  </si>
  <si>
    <t>Canal de comunicação contínua</t>
  </si>
  <si>
    <t>Contínuo</t>
  </si>
  <si>
    <t>Slack/Discord</t>
  </si>
  <si>
    <t>Board visual de tarefas</t>
  </si>
  <si>
    <t>Trello/Jira</t>
  </si>
  <si>
    <t>Todos</t>
  </si>
  <si>
    <t>Relatório mensal ao patrocinador</t>
  </si>
  <si>
    <t>Mensal</t>
  </si>
  <si>
    <t>E-mail</t>
  </si>
  <si>
    <t>GP → Dono PetVida</t>
  </si>
  <si>
    <t>PRODUCT BACKLOG (PRIORIZADO)</t>
  </si>
  <si>
    <t>ID</t>
  </si>
  <si>
    <t>User Story</t>
  </si>
  <si>
    <t>Sprint</t>
  </si>
  <si>
    <t>Prioridade</t>
  </si>
  <si>
    <t>US01</t>
  </si>
  <si>
    <t>Como tutor, quero ver serviços e preços do PetVida para decidir se levo meu pet.</t>
  </si>
  <si>
    <t>Sprint 1</t>
  </si>
  <si>
    <t>US02</t>
  </si>
  <si>
    <t>Como tutor, quero agendar banho/tosa online e receber confirmação por WhatsApp.</t>
  </si>
  <si>
    <t>Sprint 2</t>
  </si>
  <si>
    <t>US03</t>
  </si>
  <si>
    <t>Como cliente, quero comprar produtos pet pelo site com cartão ou PIX.</t>
  </si>
  <si>
    <t>Sprint 3</t>
  </si>
  <si>
    <t>US04</t>
  </si>
  <si>
    <t>Como gerente, quero painel admin para gerenciar produtos, pedidos e agendamentos.</t>
  </si>
  <si>
    <t>US05</t>
  </si>
  <si>
    <t>Como visitante, quero encontrar o PetVida no Google ao pesquisar 'pet shop na região'.</t>
  </si>
  <si>
    <t>Sprint 4</t>
  </si>
  <si>
    <t>US06</t>
  </si>
  <si>
    <t>Como tutor, quero ler dicas de cuidados com meu pet no blog.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</si>
</sst>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14">
    <font>
      <sz val="11.0"/>
      <color theme="1"/>
      <name val="Calibri"/>
      <scheme val="minor"/>
    </font>
    <font>
      <b/>
      <sz val="14.0"/>
      <color rgb="FF1B3A5C"/>
      <name val="Arial"/>
    </font>
    <font>
      <i/>
      <sz val="9.0"/>
      <color rgb="FF2E6B9E"/>
      <name val="Arial"/>
    </font>
    <font>
      <b/>
      <sz val="10.0"/>
      <color rgb="FFFFFFFF"/>
      <name val="Arial"/>
    </font>
    <font>
      <b/>
      <sz val="10.0"/>
      <color rgb="FF1B3A5C"/>
      <name val="Arial"/>
    </font>
    <font>
      <sz val="11.0"/>
      <color theme="1"/>
      <name val="Calibri"/>
    </font>
    <font>
      <sz val="9.0"/>
      <color theme="1"/>
      <name val="Arial"/>
    </font>
    <font>
      <b/>
      <sz val="11.0"/>
      <color rgb="FFE67E22"/>
      <name val="Arial"/>
    </font>
    <font>
      <sz val="10.0"/>
      <color rgb="FF27AE60"/>
      <name val="Arial"/>
    </font>
    <font>
      <b/>
      <sz val="11.0"/>
      <color rgb="FF1B3A5C"/>
      <name val="Arial"/>
    </font>
    <font>
      <sz val="10.0"/>
      <color rgb="FF7F8C8D"/>
      <name val="Arial"/>
    </font>
    <font>
      <b/>
      <sz val="9.0"/>
      <color theme="1"/>
      <name val="Arial"/>
    </font>
    <font>
      <b/>
      <sz val="9.0"/>
      <color rgb="FFFFFFFF"/>
      <name val="Arial"/>
    </font>
    <font/>
  </fonts>
  <fills count="15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F2F3F4"/>
        <bgColor rgb="FFF2F3F4"/>
      </patternFill>
    </fill>
    <fill>
      <patternFill patternType="solid">
        <fgColor rgb="FF3498DB"/>
        <bgColor rgb="FF3498DB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9B59B6"/>
        <bgColor rgb="FF9B59B6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7F8C8D"/>
        <bgColor rgb="FF7F8C8D"/>
      </patternFill>
    </fill>
    <fill>
      <patternFill patternType="solid">
        <fgColor rgb="FFFADBD8"/>
        <bgColor rgb="FFFADBD8"/>
      </patternFill>
    </fill>
  </fills>
  <borders count="5">
    <border/>
    <border>
      <left style="thin">
        <color rgb="FF2E6B9E"/>
      </left>
      <right style="thin">
        <color rgb="FF2E6B9E"/>
      </right>
      <top style="thin">
        <color rgb="FF2E6B9E"/>
      </top>
      <bottom style="thin">
        <color rgb="FF2E6B9E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7" fontId="1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ill="1" applyFont="1">
      <alignment horizontal="center" shrinkToFit="0" vertical="center" wrapText="1"/>
    </xf>
    <xf borderId="1" fillId="10" fontId="12" numFmtId="0" xfId="0" applyAlignment="1" applyBorder="1" applyFill="1" applyFont="1">
      <alignment horizontal="center" shrinkToFit="0" vertical="center" wrapText="1"/>
    </xf>
    <xf borderId="1" fillId="11" fontId="12" numFmtId="0" xfId="0" applyAlignment="1" applyBorder="1" applyFill="1" applyFont="1">
      <alignment horizontal="center" shrinkToFit="0" vertical="center" wrapText="1"/>
    </xf>
    <xf borderId="1" fillId="12" fontId="12" numFmtId="0" xfId="0" applyAlignment="1" applyBorder="1" applyFill="1" applyFont="1">
      <alignment horizontal="center" shrinkToFit="0" vertical="center" wrapText="1"/>
    </xf>
    <xf borderId="1" fillId="13" fontId="12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6" fontId="6" numFmtId="164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3" fillId="0" fontId="13" numFmtId="0" xfId="0" applyBorder="1" applyFont="1"/>
    <xf borderId="4" fillId="0" fontId="13" numFmtId="0" xfId="0" applyBorder="1" applyFont="1"/>
    <xf borderId="1" fillId="14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4" width="16.0"/>
    <col customWidth="1" min="5" max="26" width="8.71"/>
  </cols>
  <sheetData>
    <row r="1" ht="30.0" customHeight="1">
      <c r="A1" s="1" t="s">
        <v>0</v>
      </c>
    </row>
    <row r="2" ht="15.0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</row>
    <row r="4">
      <c r="A4" s="4" t="s">
        <v>6</v>
      </c>
      <c r="B4" s="5"/>
      <c r="C4" s="5"/>
      <c r="D4" s="5"/>
    </row>
    <row r="5">
      <c r="A5" s="6" t="s">
        <v>7</v>
      </c>
      <c r="B5" s="7" t="s">
        <v>8</v>
      </c>
      <c r="C5" s="8" t="s">
        <v>9</v>
      </c>
      <c r="D5" s="8" t="s">
        <v>9</v>
      </c>
    </row>
    <row r="6">
      <c r="A6" s="6" t="s">
        <v>10</v>
      </c>
      <c r="B6" s="9" t="s">
        <v>11</v>
      </c>
      <c r="C6" s="8" t="s">
        <v>9</v>
      </c>
      <c r="D6" s="7" t="s">
        <v>8</v>
      </c>
    </row>
    <row r="7">
      <c r="A7" s="6" t="s">
        <v>12</v>
      </c>
      <c r="B7" s="9" t="s">
        <v>11</v>
      </c>
      <c r="C7" s="10" t="s">
        <v>13</v>
      </c>
      <c r="D7" s="7" t="s">
        <v>8</v>
      </c>
    </row>
    <row r="8">
      <c r="A8" s="4" t="s">
        <v>14</v>
      </c>
      <c r="B8" s="5"/>
      <c r="C8" s="5"/>
      <c r="D8" s="5"/>
    </row>
    <row r="9">
      <c r="A9" s="6" t="s">
        <v>15</v>
      </c>
      <c r="B9" s="9" t="s">
        <v>11</v>
      </c>
      <c r="C9" s="8" t="s">
        <v>9</v>
      </c>
      <c r="D9" s="7" t="s">
        <v>8</v>
      </c>
    </row>
    <row r="10">
      <c r="A10" s="6" t="s">
        <v>16</v>
      </c>
      <c r="B10" s="10" t="s">
        <v>13</v>
      </c>
      <c r="C10" s="7" t="s">
        <v>8</v>
      </c>
      <c r="D10" s="8" t="s">
        <v>9</v>
      </c>
    </row>
    <row r="11">
      <c r="A11" s="6" t="s">
        <v>17</v>
      </c>
      <c r="B11" s="7" t="s">
        <v>8</v>
      </c>
      <c r="C11" s="8" t="s">
        <v>9</v>
      </c>
      <c r="D11" s="10" t="s">
        <v>13</v>
      </c>
    </row>
    <row r="12">
      <c r="A12" s="4" t="s">
        <v>18</v>
      </c>
      <c r="B12" s="5"/>
      <c r="C12" s="5"/>
      <c r="D12" s="5"/>
    </row>
    <row r="13">
      <c r="A13" s="6" t="s">
        <v>19</v>
      </c>
      <c r="B13" s="10" t="s">
        <v>13</v>
      </c>
      <c r="C13" s="10" t="s">
        <v>13</v>
      </c>
      <c r="D13" s="7" t="s">
        <v>8</v>
      </c>
    </row>
    <row r="14">
      <c r="A14" s="6" t="s">
        <v>20</v>
      </c>
      <c r="B14" s="9" t="s">
        <v>11</v>
      </c>
      <c r="C14" s="8" t="s">
        <v>9</v>
      </c>
      <c r="D14" s="7" t="s">
        <v>8</v>
      </c>
    </row>
    <row r="15">
      <c r="A15" s="6" t="s">
        <v>21</v>
      </c>
      <c r="B15" s="10" t="s">
        <v>13</v>
      </c>
      <c r="C15" s="10" t="s">
        <v>13</v>
      </c>
      <c r="D15" s="7" t="s">
        <v>8</v>
      </c>
    </row>
    <row r="16">
      <c r="A16" s="4" t="s">
        <v>22</v>
      </c>
      <c r="B16" s="5"/>
      <c r="C16" s="5"/>
      <c r="D16" s="5"/>
    </row>
    <row r="17">
      <c r="A17" s="6" t="s">
        <v>23</v>
      </c>
      <c r="B17" s="10" t="s">
        <v>13</v>
      </c>
      <c r="C17" s="10" t="s">
        <v>13</v>
      </c>
      <c r="D17" s="7" t="s">
        <v>8</v>
      </c>
    </row>
    <row r="18">
      <c r="A18" s="6" t="s">
        <v>24</v>
      </c>
      <c r="B18" s="9" t="s">
        <v>11</v>
      </c>
      <c r="C18" s="8" t="s">
        <v>9</v>
      </c>
      <c r="D18" s="7" t="s">
        <v>8</v>
      </c>
    </row>
    <row r="19">
      <c r="A19" s="6" t="s">
        <v>25</v>
      </c>
      <c r="B19" s="9" t="s">
        <v>11</v>
      </c>
      <c r="C19" s="8" t="s">
        <v>9</v>
      </c>
      <c r="D19" s="7" t="s">
        <v>8</v>
      </c>
    </row>
    <row r="20">
      <c r="A20" s="6" t="s">
        <v>26</v>
      </c>
      <c r="B20" s="10" t="s">
        <v>13</v>
      </c>
      <c r="C20" s="7" t="s">
        <v>8</v>
      </c>
      <c r="D20" s="8" t="s">
        <v>9</v>
      </c>
    </row>
    <row r="21" ht="15.75" customHeight="1">
      <c r="A21" s="4" t="s">
        <v>27</v>
      </c>
      <c r="B21" s="5"/>
      <c r="C21" s="5"/>
      <c r="D21" s="5"/>
    </row>
    <row r="22" ht="15.75" customHeight="1">
      <c r="A22" s="6" t="s">
        <v>28</v>
      </c>
      <c r="B22" s="9" t="s">
        <v>11</v>
      </c>
      <c r="C22" s="7" t="s">
        <v>8</v>
      </c>
      <c r="D22" s="10" t="s">
        <v>13</v>
      </c>
    </row>
    <row r="23" ht="15.75" customHeight="1">
      <c r="A23" s="6" t="s">
        <v>29</v>
      </c>
      <c r="B23" s="10" t="s">
        <v>13</v>
      </c>
      <c r="C23" s="8" t="s">
        <v>9</v>
      </c>
      <c r="D23" s="7" t="s">
        <v>8</v>
      </c>
    </row>
    <row r="24" ht="15.75" customHeight="1">
      <c r="A24" s="6" t="s">
        <v>30</v>
      </c>
      <c r="B24" s="10" t="s">
        <v>13</v>
      </c>
      <c r="C24" s="10" t="s">
        <v>13</v>
      </c>
      <c r="D24" s="7" t="s">
        <v>8</v>
      </c>
    </row>
    <row r="25" ht="15.75" customHeight="1">
      <c r="A25" s="4" t="s">
        <v>31</v>
      </c>
      <c r="B25" s="5"/>
      <c r="C25" s="5"/>
      <c r="D25" s="5"/>
    </row>
    <row r="26" ht="15.75" customHeight="1">
      <c r="A26" s="6" t="s">
        <v>32</v>
      </c>
      <c r="B26" s="9" t="s">
        <v>11</v>
      </c>
      <c r="C26" s="8" t="s">
        <v>9</v>
      </c>
      <c r="D26" s="7" t="s">
        <v>8</v>
      </c>
    </row>
    <row r="27" ht="15.75" customHeight="1">
      <c r="A27" s="6" t="s">
        <v>33</v>
      </c>
      <c r="B27" s="10" t="s">
        <v>13</v>
      </c>
      <c r="C27" s="10" t="s">
        <v>13</v>
      </c>
      <c r="D27" s="7" t="s">
        <v>8</v>
      </c>
    </row>
    <row r="28" ht="15.75" customHeight="1">
      <c r="A28" s="6" t="s">
        <v>34</v>
      </c>
      <c r="B28" s="9" t="s">
        <v>11</v>
      </c>
      <c r="C28" s="10" t="s">
        <v>13</v>
      </c>
      <c r="D28" s="7" t="s">
        <v>8</v>
      </c>
    </row>
    <row r="29" ht="15.75" customHeight="1">
      <c r="A29" s="6" t="s">
        <v>35</v>
      </c>
      <c r="B29" s="7" t="s">
        <v>8</v>
      </c>
      <c r="C29" s="7" t="s">
        <v>8</v>
      </c>
      <c r="D29" s="8" t="s">
        <v>9</v>
      </c>
    </row>
    <row r="30" ht="15.75" customHeight="1">
      <c r="A30" s="4" t="s">
        <v>36</v>
      </c>
      <c r="B30" s="5"/>
      <c r="C30" s="5"/>
      <c r="D30" s="5"/>
    </row>
    <row r="31" ht="15.75" customHeight="1">
      <c r="A31" s="6" t="s">
        <v>37</v>
      </c>
      <c r="B31" s="9" t="s">
        <v>11</v>
      </c>
      <c r="C31" s="8" t="s">
        <v>9</v>
      </c>
      <c r="D31" s="7" t="s">
        <v>8</v>
      </c>
    </row>
    <row r="32" ht="15.75" customHeight="1">
      <c r="A32" s="6" t="s">
        <v>38</v>
      </c>
      <c r="B32" s="7" t="s">
        <v>8</v>
      </c>
      <c r="C32" s="8" t="s">
        <v>9</v>
      </c>
      <c r="D32" s="8" t="s">
        <v>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6" width="12.0"/>
    <col customWidth="1" min="7" max="7" width="14.0"/>
    <col customWidth="1" min="8" max="26" width="8.71"/>
  </cols>
  <sheetData>
    <row r="1" ht="30.0" customHeight="1">
      <c r="A1" s="1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</row>
    <row r="3" ht="21.75" customHeight="1">
      <c r="A3" s="11" t="s">
        <v>46</v>
      </c>
      <c r="B3" s="12" t="s">
        <v>47</v>
      </c>
      <c r="C3" s="13"/>
      <c r="D3" s="13"/>
      <c r="E3" s="13"/>
      <c r="F3" s="13"/>
    </row>
    <row r="4" ht="21.75" customHeight="1">
      <c r="A4" s="11" t="s">
        <v>48</v>
      </c>
      <c r="B4" s="14" t="s">
        <v>47</v>
      </c>
      <c r="C4" s="14" t="s">
        <v>47</v>
      </c>
      <c r="D4" s="13"/>
      <c r="E4" s="13"/>
      <c r="F4" s="13"/>
    </row>
    <row r="5" ht="21.75" customHeight="1">
      <c r="A5" s="11" t="s">
        <v>49</v>
      </c>
      <c r="B5" s="13"/>
      <c r="C5" s="15" t="s">
        <v>47</v>
      </c>
      <c r="D5" s="15" t="s">
        <v>47</v>
      </c>
      <c r="E5" s="13"/>
      <c r="F5" s="13"/>
    </row>
    <row r="6" ht="21.75" customHeight="1">
      <c r="A6" s="11" t="s">
        <v>50</v>
      </c>
      <c r="B6" s="13"/>
      <c r="C6" s="16" t="s">
        <v>47</v>
      </c>
      <c r="D6" s="16" t="s">
        <v>47</v>
      </c>
      <c r="E6" s="16" t="s">
        <v>47</v>
      </c>
      <c r="F6" s="13"/>
    </row>
    <row r="7" ht="21.75" customHeight="1">
      <c r="A7" s="11" t="s">
        <v>51</v>
      </c>
      <c r="B7" s="13"/>
      <c r="C7" s="13"/>
      <c r="D7" s="17" t="s">
        <v>47</v>
      </c>
      <c r="E7" s="17" t="s">
        <v>47</v>
      </c>
      <c r="F7" s="13"/>
    </row>
    <row r="8" ht="21.75" customHeight="1">
      <c r="A8" s="11" t="s">
        <v>52</v>
      </c>
      <c r="B8" s="13"/>
      <c r="C8" s="13"/>
      <c r="D8" s="13"/>
      <c r="E8" s="18" t="s">
        <v>47</v>
      </c>
      <c r="F8" s="18" t="s">
        <v>47</v>
      </c>
    </row>
    <row r="9" ht="21.75" customHeight="1">
      <c r="A9" s="11" t="s">
        <v>53</v>
      </c>
      <c r="B9" s="13"/>
      <c r="C9" s="13"/>
      <c r="D9" s="13"/>
      <c r="E9" s="13"/>
      <c r="F9" s="19" t="s">
        <v>47</v>
      </c>
    </row>
    <row r="12">
      <c r="A12" s="20" t="s">
        <v>54</v>
      </c>
    </row>
    <row r="1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61</v>
      </c>
    </row>
    <row r="14">
      <c r="A14" s="6" t="s">
        <v>62</v>
      </c>
      <c r="B14" s="21" t="s">
        <v>3</v>
      </c>
      <c r="C14" s="21" t="s">
        <v>63</v>
      </c>
      <c r="D14" s="21" t="s">
        <v>64</v>
      </c>
      <c r="E14" s="21">
        <v>10.0</v>
      </c>
      <c r="F14" s="21" t="s">
        <v>65</v>
      </c>
      <c r="G14" s="21" t="s">
        <v>66</v>
      </c>
    </row>
    <row r="15">
      <c r="A15" s="22" t="s">
        <v>67</v>
      </c>
      <c r="B15" s="23" t="s">
        <v>68</v>
      </c>
      <c r="C15" s="23" t="s">
        <v>69</v>
      </c>
      <c r="D15" s="23" t="s">
        <v>70</v>
      </c>
      <c r="E15" s="23">
        <v>7.0</v>
      </c>
      <c r="F15" s="23" t="s">
        <v>65</v>
      </c>
      <c r="G15" s="23" t="s">
        <v>66</v>
      </c>
    </row>
    <row r="16">
      <c r="A16" s="6" t="s">
        <v>71</v>
      </c>
      <c r="B16" s="21" t="s">
        <v>5</v>
      </c>
      <c r="C16" s="21" t="s">
        <v>64</v>
      </c>
      <c r="D16" s="21" t="s">
        <v>72</v>
      </c>
      <c r="E16" s="21">
        <v>10.0</v>
      </c>
      <c r="F16" s="21" t="s">
        <v>73</v>
      </c>
      <c r="G16" s="21" t="s">
        <v>66</v>
      </c>
    </row>
    <row r="17">
      <c r="A17" s="22" t="s">
        <v>74</v>
      </c>
      <c r="B17" s="23" t="s">
        <v>5</v>
      </c>
      <c r="C17" s="23" t="s">
        <v>70</v>
      </c>
      <c r="D17" s="23" t="s">
        <v>75</v>
      </c>
      <c r="E17" s="23">
        <v>3.0</v>
      </c>
      <c r="F17" s="23" t="s">
        <v>73</v>
      </c>
      <c r="G17" s="23" t="s">
        <v>66</v>
      </c>
    </row>
    <row r="18">
      <c r="A18" s="6" t="s">
        <v>76</v>
      </c>
      <c r="B18" s="21" t="s">
        <v>5</v>
      </c>
      <c r="C18" s="21" t="s">
        <v>75</v>
      </c>
      <c r="D18" s="21" t="s">
        <v>77</v>
      </c>
      <c r="E18" s="21">
        <v>21.0</v>
      </c>
      <c r="F18" s="21" t="s">
        <v>78</v>
      </c>
      <c r="G18" s="21" t="s">
        <v>66</v>
      </c>
    </row>
    <row r="19">
      <c r="A19" s="22" t="s">
        <v>79</v>
      </c>
      <c r="B19" s="23" t="s">
        <v>80</v>
      </c>
      <c r="C19" s="23" t="s">
        <v>72</v>
      </c>
      <c r="D19" s="23" t="s">
        <v>81</v>
      </c>
      <c r="E19" s="23">
        <v>21.0</v>
      </c>
      <c r="F19" s="23" t="s">
        <v>73</v>
      </c>
      <c r="G19" s="23" t="s">
        <v>66</v>
      </c>
    </row>
    <row r="20">
      <c r="A20" s="6" t="s">
        <v>82</v>
      </c>
      <c r="B20" s="21" t="s">
        <v>3</v>
      </c>
      <c r="C20" s="21" t="s">
        <v>77</v>
      </c>
      <c r="D20" s="21" t="s">
        <v>83</v>
      </c>
      <c r="E20" s="21">
        <v>7.0</v>
      </c>
      <c r="F20" s="21" t="s">
        <v>84</v>
      </c>
      <c r="G20" s="21" t="s">
        <v>66</v>
      </c>
    </row>
    <row r="21" ht="15.75" customHeight="1">
      <c r="A21" s="22" t="s">
        <v>85</v>
      </c>
      <c r="B21" s="23" t="s">
        <v>5</v>
      </c>
      <c r="C21" s="23" t="s">
        <v>83</v>
      </c>
      <c r="D21" s="23" t="s">
        <v>86</v>
      </c>
      <c r="E21" s="23">
        <v>28.0</v>
      </c>
      <c r="F21" s="23" t="s">
        <v>87</v>
      </c>
      <c r="G21" s="23" t="s">
        <v>66</v>
      </c>
    </row>
    <row r="22" ht="15.75" customHeight="1">
      <c r="A22" s="6" t="s">
        <v>88</v>
      </c>
      <c r="B22" s="21" t="s">
        <v>5</v>
      </c>
      <c r="C22" s="21" t="s">
        <v>89</v>
      </c>
      <c r="D22" s="21" t="s">
        <v>90</v>
      </c>
      <c r="E22" s="21">
        <v>14.0</v>
      </c>
      <c r="F22" s="21" t="s">
        <v>91</v>
      </c>
      <c r="G22" s="21" t="s">
        <v>66</v>
      </c>
    </row>
    <row r="23" ht="15.75" customHeight="1">
      <c r="A23" s="22" t="s">
        <v>92</v>
      </c>
      <c r="B23" s="23" t="s">
        <v>5</v>
      </c>
      <c r="C23" s="23" t="s">
        <v>86</v>
      </c>
      <c r="D23" s="23" t="s">
        <v>93</v>
      </c>
      <c r="E23" s="23">
        <v>10.0</v>
      </c>
      <c r="F23" s="23" t="s">
        <v>91</v>
      </c>
      <c r="G23" s="23" t="s">
        <v>66</v>
      </c>
    </row>
    <row r="24" ht="15.75" customHeight="1">
      <c r="A24" s="6" t="s">
        <v>94</v>
      </c>
      <c r="B24" s="21" t="s">
        <v>5</v>
      </c>
      <c r="C24" s="21" t="s">
        <v>95</v>
      </c>
      <c r="D24" s="21" t="s">
        <v>90</v>
      </c>
      <c r="E24" s="21">
        <v>30.0</v>
      </c>
      <c r="F24" s="21" t="s">
        <v>87</v>
      </c>
      <c r="G24" s="21" t="s">
        <v>66</v>
      </c>
    </row>
    <row r="25" ht="15.75" customHeight="1">
      <c r="A25" s="22" t="s">
        <v>96</v>
      </c>
      <c r="B25" s="23" t="s">
        <v>5</v>
      </c>
      <c r="C25" s="23" t="s">
        <v>89</v>
      </c>
      <c r="D25" s="23" t="s">
        <v>97</v>
      </c>
      <c r="E25" s="23">
        <v>24.0</v>
      </c>
      <c r="F25" s="23" t="s">
        <v>98</v>
      </c>
      <c r="G25" s="23" t="s">
        <v>66</v>
      </c>
    </row>
    <row r="26" ht="15.75" customHeight="1">
      <c r="A26" s="6" t="s">
        <v>99</v>
      </c>
      <c r="B26" s="21" t="s">
        <v>5</v>
      </c>
      <c r="C26" s="21" t="s">
        <v>90</v>
      </c>
      <c r="D26" s="21" t="s">
        <v>100</v>
      </c>
      <c r="E26" s="21">
        <v>36.0</v>
      </c>
      <c r="F26" s="21" t="s">
        <v>98</v>
      </c>
      <c r="G26" s="21" t="s">
        <v>66</v>
      </c>
    </row>
    <row r="27" ht="15.75" customHeight="1">
      <c r="A27" s="22" t="s">
        <v>101</v>
      </c>
      <c r="B27" s="23" t="s">
        <v>80</v>
      </c>
      <c r="C27" s="23" t="s">
        <v>102</v>
      </c>
      <c r="D27" s="23" t="s">
        <v>103</v>
      </c>
      <c r="E27" s="23">
        <v>25.0</v>
      </c>
      <c r="F27" s="23" t="s">
        <v>104</v>
      </c>
      <c r="G27" s="23" t="s">
        <v>66</v>
      </c>
    </row>
    <row r="28" ht="15.75" customHeight="1">
      <c r="A28" s="6" t="s">
        <v>105</v>
      </c>
      <c r="B28" s="21" t="s">
        <v>80</v>
      </c>
      <c r="C28" s="21" t="s">
        <v>86</v>
      </c>
      <c r="D28" s="21" t="s">
        <v>106</v>
      </c>
      <c r="E28" s="21">
        <v>26.0</v>
      </c>
      <c r="F28" s="21" t="s">
        <v>87</v>
      </c>
      <c r="G28" s="21" t="s">
        <v>66</v>
      </c>
    </row>
    <row r="29" ht="15.75" customHeight="1">
      <c r="A29" s="22" t="s">
        <v>107</v>
      </c>
      <c r="B29" s="23" t="s">
        <v>5</v>
      </c>
      <c r="C29" s="23" t="s">
        <v>102</v>
      </c>
      <c r="D29" s="23" t="s">
        <v>100</v>
      </c>
      <c r="E29" s="23">
        <v>20.0</v>
      </c>
      <c r="F29" s="23" t="s">
        <v>108</v>
      </c>
      <c r="G29" s="23" t="s">
        <v>66</v>
      </c>
    </row>
    <row r="30" ht="15.75" customHeight="1">
      <c r="A30" s="6" t="s">
        <v>109</v>
      </c>
      <c r="B30" s="21" t="s">
        <v>5</v>
      </c>
      <c r="C30" s="21" t="s">
        <v>110</v>
      </c>
      <c r="D30" s="21" t="s">
        <v>100</v>
      </c>
      <c r="E30" s="21">
        <v>5.0</v>
      </c>
      <c r="F30" s="21" t="s">
        <v>111</v>
      </c>
      <c r="G30" s="21" t="s">
        <v>66</v>
      </c>
    </row>
    <row r="31" ht="15.75" customHeight="1">
      <c r="A31" s="22" t="s">
        <v>112</v>
      </c>
      <c r="B31" s="23" t="s">
        <v>5</v>
      </c>
      <c r="C31" s="23" t="s">
        <v>100</v>
      </c>
      <c r="D31" s="23" t="s">
        <v>113</v>
      </c>
      <c r="E31" s="23">
        <v>16.0</v>
      </c>
      <c r="F31" s="23" t="s">
        <v>114</v>
      </c>
      <c r="G31" s="23" t="s">
        <v>66</v>
      </c>
    </row>
    <row r="32" ht="15.75" customHeight="1">
      <c r="A32" s="6" t="s">
        <v>115</v>
      </c>
      <c r="B32" s="21" t="s">
        <v>5</v>
      </c>
      <c r="C32" s="21" t="s">
        <v>113</v>
      </c>
      <c r="D32" s="21" t="s">
        <v>116</v>
      </c>
      <c r="E32" s="21">
        <v>10.0</v>
      </c>
      <c r="F32" s="21" t="s">
        <v>117</v>
      </c>
      <c r="G32" s="21" t="s">
        <v>66</v>
      </c>
    </row>
    <row r="33" ht="15.75" customHeight="1">
      <c r="A33" s="22" t="s">
        <v>118</v>
      </c>
      <c r="B33" s="23" t="s">
        <v>5</v>
      </c>
      <c r="C33" s="23" t="s">
        <v>116</v>
      </c>
      <c r="D33" s="23" t="s">
        <v>119</v>
      </c>
      <c r="E33" s="23">
        <v>3.0</v>
      </c>
      <c r="F33" s="23" t="s">
        <v>120</v>
      </c>
      <c r="G33" s="23" t="s">
        <v>66</v>
      </c>
    </row>
    <row r="34" ht="15.75" customHeight="1">
      <c r="A34" s="6" t="s">
        <v>121</v>
      </c>
      <c r="B34" s="21" t="s">
        <v>68</v>
      </c>
      <c r="C34" s="21" t="s">
        <v>119</v>
      </c>
      <c r="D34" s="21" t="s">
        <v>122</v>
      </c>
      <c r="E34" s="21">
        <v>12.0</v>
      </c>
      <c r="F34" s="21" t="s">
        <v>123</v>
      </c>
      <c r="G34" s="21" t="s">
        <v>66</v>
      </c>
    </row>
    <row r="35" ht="15.75" customHeight="1">
      <c r="A35" s="22" t="s">
        <v>124</v>
      </c>
      <c r="B35" s="23" t="s">
        <v>5</v>
      </c>
      <c r="C35" s="23" t="s">
        <v>125</v>
      </c>
      <c r="D35" s="23" t="s">
        <v>126</v>
      </c>
      <c r="E35" s="23">
        <v>5.0</v>
      </c>
      <c r="F35" s="23" t="s">
        <v>123</v>
      </c>
      <c r="G35" s="23" t="s">
        <v>66</v>
      </c>
    </row>
    <row r="36" ht="15.75" customHeight="1">
      <c r="A36" s="6" t="s">
        <v>127</v>
      </c>
      <c r="B36" s="21" t="s">
        <v>3</v>
      </c>
      <c r="C36" s="21" t="s">
        <v>126</v>
      </c>
      <c r="D36" s="21" t="s">
        <v>122</v>
      </c>
      <c r="E36" s="21">
        <v>5.0</v>
      </c>
      <c r="F36" s="21" t="s">
        <v>128</v>
      </c>
      <c r="G36" s="21" t="s">
        <v>66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2:G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4.0"/>
    <col customWidth="1" min="3" max="3" width="18.0"/>
    <col customWidth="1" min="4" max="4" width="20.0"/>
    <col customWidth="1" min="5" max="26" width="8.71"/>
  </cols>
  <sheetData>
    <row r="1" ht="30.0" customHeight="1">
      <c r="A1" s="1" t="s">
        <v>129</v>
      </c>
    </row>
    <row r="2">
      <c r="A2" s="3" t="s">
        <v>130</v>
      </c>
      <c r="B2" s="3" t="s">
        <v>131</v>
      </c>
      <c r="C2" s="3" t="s">
        <v>132</v>
      </c>
      <c r="D2" s="3" t="s">
        <v>133</v>
      </c>
    </row>
    <row r="3">
      <c r="A3" s="6" t="s">
        <v>134</v>
      </c>
      <c r="B3" s="21" t="s">
        <v>135</v>
      </c>
      <c r="C3" s="21" t="s">
        <v>136</v>
      </c>
      <c r="D3" s="24">
        <v>40.0</v>
      </c>
    </row>
    <row r="4">
      <c r="A4" s="22" t="s">
        <v>137</v>
      </c>
      <c r="B4" s="23" t="s">
        <v>138</v>
      </c>
      <c r="C4" s="23" t="s">
        <v>139</v>
      </c>
      <c r="D4" s="25">
        <v>1440.0</v>
      </c>
    </row>
    <row r="5">
      <c r="A5" s="6" t="s">
        <v>140</v>
      </c>
      <c r="B5" s="21" t="s">
        <v>135</v>
      </c>
      <c r="C5" s="21" t="s">
        <v>141</v>
      </c>
      <c r="D5" s="24">
        <v>0.0</v>
      </c>
    </row>
    <row r="6">
      <c r="A6" s="22" t="s">
        <v>142</v>
      </c>
      <c r="B6" s="23" t="s">
        <v>143</v>
      </c>
      <c r="C6" s="23" t="s">
        <v>144</v>
      </c>
      <c r="D6" s="25">
        <v>38400.0</v>
      </c>
    </row>
    <row r="7">
      <c r="A7" s="6" t="s">
        <v>145</v>
      </c>
      <c r="B7" s="21" t="s">
        <v>146</v>
      </c>
      <c r="C7" s="21" t="s">
        <v>147</v>
      </c>
      <c r="D7" s="24">
        <v>5000.0</v>
      </c>
    </row>
    <row r="8">
      <c r="A8" s="22" t="s">
        <v>148</v>
      </c>
      <c r="B8" s="23" t="s">
        <v>149</v>
      </c>
      <c r="C8" s="23" t="s">
        <v>150</v>
      </c>
      <c r="D8" s="25">
        <v>2500.0</v>
      </c>
    </row>
    <row r="9">
      <c r="A9" s="6" t="s">
        <v>151</v>
      </c>
      <c r="B9" s="21" t="s">
        <v>152</v>
      </c>
      <c r="C9" s="21" t="s">
        <v>153</v>
      </c>
      <c r="D9" s="24">
        <v>1200.0</v>
      </c>
    </row>
    <row r="10">
      <c r="A10" s="22" t="s">
        <v>154</v>
      </c>
      <c r="B10" s="23" t="s">
        <v>73</v>
      </c>
      <c r="C10" s="23" t="s">
        <v>141</v>
      </c>
      <c r="D10" s="25">
        <v>0.0</v>
      </c>
    </row>
    <row r="11">
      <c r="A11" s="6" t="s">
        <v>155</v>
      </c>
      <c r="B11" s="21" t="s">
        <v>156</v>
      </c>
      <c r="C11" s="21" t="s">
        <v>157</v>
      </c>
      <c r="D11" s="24">
        <v>600.0</v>
      </c>
    </row>
    <row r="12">
      <c r="A12" s="22" t="s">
        <v>158</v>
      </c>
      <c r="B12" s="23" t="s">
        <v>159</v>
      </c>
      <c r="C12" s="23" t="s">
        <v>160</v>
      </c>
      <c r="D12" s="25">
        <v>3000.0</v>
      </c>
    </row>
    <row r="13">
      <c r="A13" s="6" t="s">
        <v>161</v>
      </c>
      <c r="B13" s="21" t="s">
        <v>65</v>
      </c>
      <c r="C13" s="21" t="s">
        <v>65</v>
      </c>
      <c r="D13" s="24">
        <v>5218.0</v>
      </c>
    </row>
    <row r="14">
      <c r="A14" s="3" t="s">
        <v>162</v>
      </c>
      <c r="B14" s="3"/>
      <c r="C14" s="3"/>
      <c r="D14" s="26">
        <f>SUM(D3:D13)</f>
        <v>57398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3" width="12.0"/>
    <col customWidth="1" min="4" max="4" width="14.0"/>
    <col customWidth="1" min="5" max="5" width="50.0"/>
    <col customWidth="1" min="6" max="26" width="8.71"/>
  </cols>
  <sheetData>
    <row r="1" ht="30.0" customHeight="1">
      <c r="A1" s="1" t="s">
        <v>163</v>
      </c>
    </row>
    <row r="2" ht="15.0" customHeight="1">
      <c r="A2" s="27" t="s">
        <v>164</v>
      </c>
      <c r="B2" s="28"/>
      <c r="C2" s="28"/>
      <c r="D2" s="28"/>
      <c r="E2" s="29"/>
    </row>
    <row r="3">
      <c r="A3" s="3" t="s">
        <v>165</v>
      </c>
      <c r="B3" s="3" t="s">
        <v>166</v>
      </c>
      <c r="C3" s="3" t="s">
        <v>167</v>
      </c>
      <c r="D3" s="3" t="s">
        <v>168</v>
      </c>
      <c r="E3" s="3" t="s">
        <v>169</v>
      </c>
    </row>
    <row r="4">
      <c r="A4" s="6" t="s">
        <v>170</v>
      </c>
      <c r="B4" s="21" t="s">
        <v>171</v>
      </c>
      <c r="C4" s="21" t="s">
        <v>172</v>
      </c>
      <c r="D4" s="30" t="s">
        <v>173</v>
      </c>
      <c r="E4" s="6" t="s">
        <v>174</v>
      </c>
    </row>
    <row r="5">
      <c r="A5" s="6" t="s">
        <v>175</v>
      </c>
      <c r="B5" s="21" t="s">
        <v>176</v>
      </c>
      <c r="C5" s="21" t="s">
        <v>172</v>
      </c>
      <c r="D5" s="31" t="s">
        <v>172</v>
      </c>
      <c r="E5" s="6" t="s">
        <v>177</v>
      </c>
    </row>
    <row r="6">
      <c r="A6" s="6" t="s">
        <v>178</v>
      </c>
      <c r="B6" s="21" t="s">
        <v>176</v>
      </c>
      <c r="C6" s="21" t="s">
        <v>172</v>
      </c>
      <c r="D6" s="31" t="s">
        <v>172</v>
      </c>
      <c r="E6" s="6" t="s">
        <v>179</v>
      </c>
    </row>
    <row r="7">
      <c r="A7" s="6" t="s">
        <v>180</v>
      </c>
      <c r="B7" s="21" t="s">
        <v>176</v>
      </c>
      <c r="C7" s="21" t="s">
        <v>181</v>
      </c>
      <c r="D7" s="31" t="s">
        <v>182</v>
      </c>
      <c r="E7" s="6" t="s">
        <v>183</v>
      </c>
    </row>
    <row r="9" ht="15.0" customHeight="1">
      <c r="A9" s="27" t="s">
        <v>184</v>
      </c>
      <c r="B9" s="28"/>
      <c r="C9" s="28"/>
      <c r="D9" s="28"/>
      <c r="E9" s="29"/>
    </row>
    <row r="10">
      <c r="A10" s="3" t="s">
        <v>185</v>
      </c>
      <c r="B10" s="3" t="s">
        <v>186</v>
      </c>
      <c r="C10" s="3" t="s">
        <v>187</v>
      </c>
      <c r="D10" s="3" t="s">
        <v>188</v>
      </c>
    </row>
    <row r="11">
      <c r="A11" s="6" t="s">
        <v>189</v>
      </c>
      <c r="B11" s="21" t="s">
        <v>190</v>
      </c>
      <c r="C11" s="21" t="s">
        <v>191</v>
      </c>
      <c r="D11" s="21" t="s">
        <v>192</v>
      </c>
    </row>
    <row r="12">
      <c r="A12" s="22" t="s">
        <v>193</v>
      </c>
      <c r="B12" s="23" t="s">
        <v>194</v>
      </c>
      <c r="C12" s="23" t="s">
        <v>195</v>
      </c>
      <c r="D12" s="23" t="s">
        <v>196</v>
      </c>
    </row>
    <row r="13">
      <c r="A13" s="6" t="s">
        <v>197</v>
      </c>
      <c r="B13" s="21" t="s">
        <v>198</v>
      </c>
      <c r="C13" s="21" t="s">
        <v>199</v>
      </c>
      <c r="D13" s="21" t="s">
        <v>192</v>
      </c>
    </row>
    <row r="14">
      <c r="A14" s="22" t="s">
        <v>200</v>
      </c>
      <c r="B14" s="23" t="s">
        <v>198</v>
      </c>
      <c r="C14" s="23" t="s">
        <v>201</v>
      </c>
      <c r="D14" s="23" t="s">
        <v>202</v>
      </c>
    </row>
    <row r="15">
      <c r="A15" s="6" t="s">
        <v>203</v>
      </c>
      <c r="B15" s="21" t="s">
        <v>204</v>
      </c>
      <c r="C15" s="21" t="s">
        <v>205</v>
      </c>
      <c r="D15" s="21" t="s">
        <v>206</v>
      </c>
    </row>
    <row r="17" ht="15.0" customHeight="1">
      <c r="A17" s="27" t="s">
        <v>207</v>
      </c>
      <c r="B17" s="28"/>
      <c r="C17" s="28"/>
      <c r="D17" s="28"/>
      <c r="E17" s="29"/>
    </row>
    <row r="18">
      <c r="A18" s="3" t="s">
        <v>208</v>
      </c>
      <c r="B18" s="3" t="s">
        <v>209</v>
      </c>
      <c r="C18" s="3" t="s">
        <v>210</v>
      </c>
      <c r="D18" s="3" t="s">
        <v>211</v>
      </c>
      <c r="E18" s="3" t="s">
        <v>61</v>
      </c>
    </row>
    <row r="19">
      <c r="A19" s="21" t="s">
        <v>212</v>
      </c>
      <c r="B19" s="6" t="s">
        <v>213</v>
      </c>
      <c r="C19" s="21" t="s">
        <v>214</v>
      </c>
      <c r="D19" s="30" t="s">
        <v>171</v>
      </c>
      <c r="E19" s="21" t="s">
        <v>66</v>
      </c>
    </row>
    <row r="20">
      <c r="A20" s="21" t="s">
        <v>215</v>
      </c>
      <c r="B20" s="6" t="s">
        <v>216</v>
      </c>
      <c r="C20" s="21" t="s">
        <v>217</v>
      </c>
      <c r="D20" s="30" t="s">
        <v>171</v>
      </c>
      <c r="E20" s="21" t="s">
        <v>66</v>
      </c>
    </row>
    <row r="21" ht="15.75" customHeight="1">
      <c r="A21" s="21" t="s">
        <v>218</v>
      </c>
      <c r="B21" s="6" t="s">
        <v>219</v>
      </c>
      <c r="C21" s="21" t="s">
        <v>220</v>
      </c>
      <c r="D21" s="30" t="s">
        <v>171</v>
      </c>
      <c r="E21" s="21" t="s">
        <v>66</v>
      </c>
    </row>
    <row r="22" ht="15.75" customHeight="1">
      <c r="A22" s="21" t="s">
        <v>221</v>
      </c>
      <c r="B22" s="6" t="s">
        <v>222</v>
      </c>
      <c r="C22" s="21" t="s">
        <v>217</v>
      </c>
      <c r="D22" s="30" t="s">
        <v>171</v>
      </c>
      <c r="E22" s="21" t="s">
        <v>66</v>
      </c>
    </row>
    <row r="23" ht="15.75" customHeight="1">
      <c r="A23" s="21" t="s">
        <v>223</v>
      </c>
      <c r="B23" s="6" t="s">
        <v>224</v>
      </c>
      <c r="C23" s="21" t="s">
        <v>225</v>
      </c>
      <c r="D23" s="31" t="s">
        <v>176</v>
      </c>
      <c r="E23" s="21" t="s">
        <v>66</v>
      </c>
    </row>
    <row r="24" ht="15.75" customHeight="1">
      <c r="A24" s="21" t="s">
        <v>226</v>
      </c>
      <c r="B24" s="6" t="s">
        <v>227</v>
      </c>
      <c r="C24" s="21" t="s">
        <v>225</v>
      </c>
      <c r="D24" s="31" t="s">
        <v>176</v>
      </c>
      <c r="E24" s="21" t="s">
        <v>66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9:E9"/>
    <mergeCell ref="A17:E17"/>
  </mergeCells>
  <printOptions/>
  <pageMargins bottom="1.0" footer="0.0" header="0.0" left="0.75" right="0.75" top="1.0"/>
  <pageSetup paperSize="9" orientation="portrait"/>
  <drawing r:id="rId1"/>
</worksheet>
</file>